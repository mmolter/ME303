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\Desktop\ME303\Labs\Lab 3 - Humidity\"/>
    </mc:Choice>
  </mc:AlternateContent>
  <xr:revisionPtr revIDLastSave="0" documentId="13_ncr:1_{67725FB6-7DA9-492F-A679-AFEEE2B62DD6}" xr6:coauthVersionLast="37" xr6:coauthVersionMax="37" xr10:uidLastSave="{00000000-0000-0000-0000-000000000000}"/>
  <bookViews>
    <workbookView xWindow="0" yWindow="0" windowWidth="21576" windowHeight="7500" activeTab="2" xr2:uid="{8F360C39-52DC-4B55-9CF3-EF09A2D16DE0}"/>
  </bookViews>
  <sheets>
    <sheet name="Data" sheetId="1" r:id="rId1"/>
    <sheet name="OMEGA Data" sheetId="2" r:id="rId2"/>
    <sheet name="Voltage Divider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3" l="1"/>
  <c r="C10" i="3"/>
  <c r="C11" i="3"/>
  <c r="C8" i="3"/>
  <c r="G3" i="3"/>
  <c r="G4" i="3"/>
  <c r="G5" i="3"/>
  <c r="G2" i="3"/>
  <c r="E3" i="3"/>
  <c r="E4" i="3"/>
  <c r="E5" i="3"/>
  <c r="E2" i="3"/>
  <c r="A19" i="2" l="1"/>
  <c r="A20" i="2"/>
  <c r="A21" i="2" s="1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3" i="2"/>
  <c r="C24" i="1"/>
  <c r="C25" i="1"/>
  <c r="C26" i="1"/>
  <c r="C27" i="1"/>
  <c r="C28" i="1"/>
  <c r="C23" i="1"/>
  <c r="C14" i="1"/>
  <c r="C15" i="1"/>
  <c r="C16" i="1"/>
  <c r="C17" i="1"/>
  <c r="C18" i="1"/>
  <c r="C13" i="1"/>
  <c r="C4" i="1"/>
  <c r="C5" i="1"/>
  <c r="C6" i="1"/>
  <c r="C7" i="1"/>
  <c r="C8" i="1"/>
  <c r="C3" i="1"/>
  <c r="D18" i="1"/>
  <c r="D13" i="1"/>
  <c r="D8" i="1"/>
  <c r="D4" i="1"/>
  <c r="D15" i="1"/>
  <c r="D6" i="1"/>
  <c r="D5" i="1"/>
  <c r="D14" i="1"/>
  <c r="D16" i="1"/>
  <c r="D7" i="1"/>
  <c r="D3" i="1"/>
  <c r="D17" i="1"/>
  <c r="E17" i="1" l="1"/>
  <c r="E3" i="1"/>
  <c r="E7" i="1"/>
  <c r="E16" i="1"/>
  <c r="E14" i="1"/>
  <c r="E5" i="1"/>
  <c r="E6" i="1"/>
  <c r="E15" i="1"/>
  <c r="E4" i="1"/>
  <c r="E8" i="1"/>
  <c r="E13" i="1"/>
  <c r="E18" i="1"/>
</calcChain>
</file>

<file path=xl/sharedStrings.xml><?xml version="1.0" encoding="utf-8"?>
<sst xmlns="http://schemas.openxmlformats.org/spreadsheetml/2006/main" count="27" uniqueCount="18">
  <si>
    <t>NaCl</t>
  </si>
  <si>
    <t>Temperature (°C)</t>
  </si>
  <si>
    <t>Voltage (V)</t>
  </si>
  <si>
    <t>Measured Relative Humidity (%RH)</t>
  </si>
  <si>
    <t>Predicted Relative Humidity (%RH)</t>
  </si>
  <si>
    <t>% Error (%)</t>
  </si>
  <si>
    <t>KCl</t>
  </si>
  <si>
    <r>
      <t>MgSO</t>
    </r>
    <r>
      <rPr>
        <vertAlign val="subscript"/>
        <sz val="11"/>
        <color theme="1"/>
        <rFont val="Calibri"/>
        <family val="2"/>
        <scheme val="minor"/>
      </rPr>
      <t>4</t>
    </r>
  </si>
  <si>
    <r>
      <t>V</t>
    </r>
    <r>
      <rPr>
        <vertAlign val="subscript"/>
        <sz val="11"/>
        <color theme="1"/>
        <rFont val="Calibri"/>
        <family val="2"/>
        <scheme val="minor"/>
      </rPr>
      <t>supply</t>
    </r>
    <r>
      <rPr>
        <sz val="11"/>
        <color theme="1"/>
        <rFont val="Calibri"/>
        <family val="2"/>
        <scheme val="minor"/>
      </rPr>
      <t xml:space="preserve"> (V)</t>
    </r>
  </si>
  <si>
    <t>NaCl (%RH)</t>
  </si>
  <si>
    <t>KCl (%RH)</t>
  </si>
  <si>
    <t>V_BATT</t>
  </si>
  <si>
    <t>R1</t>
  </si>
  <si>
    <t>R2</t>
  </si>
  <si>
    <t>RM</t>
  </si>
  <si>
    <t>VTH</t>
  </si>
  <si>
    <t>VREAL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</si>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</sst>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6" formatCode="0E+00"/>
    <numFmt numFmtId="169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top" wrapText="1"/>
    </xf>
    <xf numFmtId="2" fontId="0" fillId="0" borderId="0" xfId="0" applyNumberFormat="1"/>
    <xf numFmtId="164" fontId="0" fillId="0" borderId="0" xfId="0" applyNumberFormat="1"/>
    <xf numFmtId="9" fontId="0" fillId="0" borderId="0" xfId="1" applyFont="1"/>
    <xf numFmtId="11" fontId="0" fillId="0" borderId="0" xfId="0" applyNumberFormat="1"/>
    <xf numFmtId="166" fontId="0" fillId="0" borderId="0" xfId="0" applyNumberFormat="1"/>
    <xf numFmtId="1" fontId="0" fillId="0" borderId="0" xfId="0" applyNumberFormat="1"/>
    <xf numFmtId="16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47083227499787"/>
          <c:y val="5.0925925925925923E-2"/>
          <c:w val="0.77719583439166862"/>
          <c:h val="0.7525532225138524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Measured Relative Humidity (%RH)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Data!$A$3:$A$8</c:f>
              <c:numCache>
                <c:formatCode>0.0</c:formatCode>
                <c:ptCount val="6"/>
                <c:pt idx="0">
                  <c:v>71.099999999999994</c:v>
                </c:pt>
                <c:pt idx="1">
                  <c:v>55.5</c:v>
                </c:pt>
                <c:pt idx="2">
                  <c:v>48.7</c:v>
                </c:pt>
                <c:pt idx="3">
                  <c:v>40.700000000000003</c:v>
                </c:pt>
                <c:pt idx="4">
                  <c:v>31</c:v>
                </c:pt>
                <c:pt idx="5">
                  <c:v>25.5</c:v>
                </c:pt>
              </c:numCache>
            </c:numRef>
          </c:xVal>
          <c:yVal>
            <c:numRef>
              <c:f>Data!$C$3:$C$8</c:f>
              <c:numCache>
                <c:formatCode>0.0</c:formatCode>
                <c:ptCount val="6"/>
                <c:pt idx="0">
                  <c:v>109.79144970921494</c:v>
                </c:pt>
                <c:pt idx="1">
                  <c:v>108.5177291127529</c:v>
                </c:pt>
                <c:pt idx="2">
                  <c:v>108.34897484805772</c:v>
                </c:pt>
                <c:pt idx="3">
                  <c:v>108.26605710206944</c:v>
                </c:pt>
                <c:pt idx="4">
                  <c:v>98.34820024245191</c:v>
                </c:pt>
                <c:pt idx="5">
                  <c:v>94.310502015878015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F-4F29-96E1-51AE67822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scatterChart>
        <c:scatterStyle val="smoothMarker"/>
        <c:varyColors val="0"/>
        <c:ser>
          <c:idx val="1"/>
          <c:order val="1"/>
          <c:tx>
            <c:strRef>
              <c:f>Data!$D$2</c:f>
              <c:strCache>
                <c:ptCount val="1"/>
                <c:pt idx="0">
                  <c:v>Predicted Relative Humidity (%RH)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Data!$A$3:$A$8</c:f>
              <c:numCache>
                <c:formatCode>0.0</c:formatCode>
                <c:ptCount val="6"/>
                <c:pt idx="0">
                  <c:v>71.099999999999994</c:v>
                </c:pt>
                <c:pt idx="1">
                  <c:v>55.5</c:v>
                </c:pt>
                <c:pt idx="2">
                  <c:v>48.7</c:v>
                </c:pt>
                <c:pt idx="3">
                  <c:v>40.700000000000003</c:v>
                </c:pt>
                <c:pt idx="4">
                  <c:v>31</c:v>
                </c:pt>
                <c:pt idx="5">
                  <c:v>25.5</c:v>
                </c:pt>
              </c:numCache>
            </c:numRef>
          </c:xVal>
          <c:yVal>
            <c:numRef>
              <c:f>Data!$D$3:$D$8</c:f>
              <c:numCache>
                <c:formatCode>0.0</c:formatCode>
                <c:ptCount val="6"/>
                <c:pt idx="0">
                  <c:v>75.174400000000006</c:v>
                </c:pt>
                <c:pt idx="1">
                  <c:v>74.418999999999997</c:v>
                </c:pt>
                <c:pt idx="2">
                  <c:v>74.453400000000002</c:v>
                </c:pt>
                <c:pt idx="3">
                  <c:v>74.657600000000002</c:v>
                </c:pt>
                <c:pt idx="4">
                  <c:v>75.046000000000006</c:v>
                </c:pt>
                <c:pt idx="5">
                  <c:v>75.27000000000001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F-4F29-96E1-51AE67822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valAx>
        <c:axId val="671036672"/>
        <c:scaling>
          <c:orientation val="minMax"/>
          <c:min val="1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(°C)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987864420173285"/>
              <c:y val="0.90161927675707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9296"/>
        <c:crosses val="autoZero"/>
        <c:crossBetween val="midCat"/>
      </c:valAx>
      <c:valAx>
        <c:axId val="671039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Humidity (%RH)</a:t>
                </a:r>
              </a:p>
            </c:rich>
          </c:tx>
          <c:layout>
            <c:manualLayout>
              <c:xMode val="edge"/>
              <c:yMode val="edge"/>
              <c:x val="2.7054440775548215E-2"/>
              <c:y val="0.15319772528433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667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34675048683430698"/>
          <c:y val="0.61921186934966466"/>
          <c:w val="0.57317444190443934"/>
          <c:h val="0.14930664916885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47083227499787"/>
          <c:y val="5.0925925925925923E-2"/>
          <c:w val="0.77719583439166862"/>
          <c:h val="0.7525532225138524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Measured Relative Humidity (%RH)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Data!$A$13:$A$18</c:f>
              <c:numCache>
                <c:formatCode>0.0</c:formatCode>
                <c:ptCount val="6"/>
                <c:pt idx="0">
                  <c:v>77.3</c:v>
                </c:pt>
                <c:pt idx="1">
                  <c:v>58.6</c:v>
                </c:pt>
                <c:pt idx="2">
                  <c:v>46.8</c:v>
                </c:pt>
                <c:pt idx="3">
                  <c:v>36.9</c:v>
                </c:pt>
                <c:pt idx="4">
                  <c:v>31</c:v>
                </c:pt>
                <c:pt idx="5">
                  <c:v>23.8</c:v>
                </c:pt>
              </c:numCache>
            </c:numRef>
          </c:xVal>
          <c:yVal>
            <c:numRef>
              <c:f>Data!$C$13:$C$18</c:f>
              <c:numCache>
                <c:formatCode>0.0</c:formatCode>
                <c:ptCount val="6"/>
                <c:pt idx="0">
                  <c:v>111.4479099252795</c:v>
                </c:pt>
                <c:pt idx="1">
                  <c:v>109.30072040838643</c:v>
                </c:pt>
                <c:pt idx="2">
                  <c:v>107.88263127526952</c:v>
                </c:pt>
                <c:pt idx="3">
                  <c:v>107.35452623447559</c:v>
                </c:pt>
                <c:pt idx="4">
                  <c:v>98.34820024245191</c:v>
                </c:pt>
                <c:pt idx="5">
                  <c:v>93.965295750873594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9F-430B-A0BA-98D46EFE7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scatterChart>
        <c:scatterStyle val="smoothMarker"/>
        <c:varyColors val="0"/>
        <c:ser>
          <c:idx val="1"/>
          <c:order val="1"/>
          <c:tx>
            <c:strRef>
              <c:f>Data!$D$2</c:f>
              <c:strCache>
                <c:ptCount val="1"/>
                <c:pt idx="0">
                  <c:v>Predicted Relative Humidity (%RH)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Data!$A$13:$A$18</c:f>
              <c:numCache>
                <c:formatCode>0.0</c:formatCode>
                <c:ptCount val="6"/>
                <c:pt idx="0">
                  <c:v>77.3</c:v>
                </c:pt>
                <c:pt idx="1">
                  <c:v>58.6</c:v>
                </c:pt>
                <c:pt idx="2">
                  <c:v>46.8</c:v>
                </c:pt>
                <c:pt idx="3">
                  <c:v>36.9</c:v>
                </c:pt>
                <c:pt idx="4">
                  <c:v>31</c:v>
                </c:pt>
                <c:pt idx="5">
                  <c:v>23.8</c:v>
                </c:pt>
              </c:numCache>
            </c:numRef>
          </c:xVal>
          <c:yVal>
            <c:numRef>
              <c:f>Data!$D$13:$D$18</c:f>
              <c:numCache>
                <c:formatCode>0.0</c:formatCode>
                <c:ptCount val="6"/>
                <c:pt idx="0">
                  <c:v>79.0458</c:v>
                </c:pt>
                <c:pt idx="1">
                  <c:v>80.376000000000005</c:v>
                </c:pt>
                <c:pt idx="2">
                  <c:v>81.545599999999993</c:v>
                </c:pt>
                <c:pt idx="3">
                  <c:v>82.710599999999999</c:v>
                </c:pt>
                <c:pt idx="4">
                  <c:v>83.486000000000004</c:v>
                </c:pt>
                <c:pt idx="5">
                  <c:v>84.524799999999999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9F-430B-A0BA-98D46EFE7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036672"/>
        <c:axId val="671039296"/>
      </c:scatterChart>
      <c:valAx>
        <c:axId val="671036672"/>
        <c:scaling>
          <c:orientation val="minMax"/>
          <c:min val="1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</a:t>
                </a:r>
                <a:r>
                  <a:rPr lang="en-US" baseline="0"/>
                  <a:t> (°C)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4987864420173285"/>
              <c:y val="0.90161927675707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9296"/>
        <c:crosses val="autoZero"/>
        <c:crossBetween val="midCat"/>
      </c:valAx>
      <c:valAx>
        <c:axId val="671039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Relative Humidity (%RH)</a:t>
                </a:r>
              </a:p>
            </c:rich>
          </c:tx>
          <c:layout>
            <c:manualLayout>
              <c:xMode val="edge"/>
              <c:yMode val="edge"/>
              <c:x val="2.7054440775548215E-2"/>
              <c:y val="0.15319772528433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03667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8940281658341099"/>
          <c:y val="0.61921186934966466"/>
          <c:w val="0.63052211215533538"/>
          <c:h val="0.14930664916885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600076</xdr:colOff>
      <xdr:row>0</xdr:row>
      <xdr:rowOff>200025</xdr:rowOff>
    </xdr:from>
    <xdr:to>
      <xdr:col>14</xdr:col>
      <xdr:colOff>485776</xdr:colOff>
      <xdr:row>13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7AFA7A-76F8-41DE-9059-D2002718E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1</xdr:row>
      <xdr:rowOff>38100</xdr:rowOff>
    </xdr:from>
    <xdr:to>
      <xdr:col>21</xdr:col>
      <xdr:colOff>28575</xdr:colOff>
      <xdr:row>13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0416D4-E822-4736-B6F9-2DEDA62935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84BD3-9789-41C1-B048-7F6F49CD00E5}">
  <sheetPr codeName="Sheet1"/>
  <dimension ref="A1:K28"/>
  <sheetViews>
    <sheetView workbookViewId="0">
      <selection activeCell="C10" sqref="C10"/>
    </sheetView>
  </sheetViews>
  <sheetFormatPr defaultRowHeight="14.4" x14ac:dyDescent="0.3"/>
  <cols>
    <col min="1" max="1" width="13.88671875" customWidth="1"/>
    <col min="3" max="3" width="18.5546875" customWidth="1"/>
    <col min="4" max="4" width="20.44140625" customWidth="1"/>
    <col min="5" max="5" width="10.6640625" bestFit="1" customWidth="1"/>
  </cols>
  <sheetData>
    <row r="1" spans="1:11" ht="15.6" x14ac:dyDescent="0.35">
      <c r="A1" t="s">
        <v>0</v>
      </c>
      <c r="H1" t="s">
        <v>8</v>
      </c>
    </row>
    <row r="2" spans="1:11" ht="28.8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H2" s="2">
        <v>4.5</v>
      </c>
    </row>
    <row r="3" spans="1:11" x14ac:dyDescent="0.3">
      <c r="A3" s="3">
        <v>71.099999999999994</v>
      </c>
      <c r="B3" s="2">
        <v>3.48</v>
      </c>
      <c r="C3" s="3">
        <f>(((B3/$H$2)-0.16)/0.0062)/(1.0546-0.00216*A3)</f>
        <v>109.79144970921494</v>
      </c>
      <c r="D3" s="3">
        <f>INTERPOLATE(A3,'OMEGA Data'!$A$2:$A$21,'OMEGA Data'!$B$2:$B$21)</f>
        <v>75.174400000000006</v>
      </c>
      <c r="E3" s="4">
        <f>(C3-D3)/D3</f>
        <v>0.4604898703443584</v>
      </c>
    </row>
    <row r="4" spans="1:11" x14ac:dyDescent="0.3">
      <c r="A4" s="3">
        <v>55.5</v>
      </c>
      <c r="B4" s="2">
        <v>3.55</v>
      </c>
      <c r="C4" s="3">
        <f t="shared" ref="C4:C8" si="0">(((B4/$H$2)-0.16)/0.0062)/(1.0546-0.00216*A4)</f>
        <v>108.5177291127529</v>
      </c>
      <c r="D4" s="3">
        <f>INTERPOLATE(A4,'OMEGA Data'!$A$2:$A$21,'OMEGA Data'!$B$2:$B$21)</f>
        <v>74.418999999999997</v>
      </c>
      <c r="E4" s="4">
        <f t="shared" ref="E4:E8" si="1">(C4-D4)/D4</f>
        <v>0.45819923826916387</v>
      </c>
    </row>
    <row r="5" spans="1:11" x14ac:dyDescent="0.3">
      <c r="A5" s="3">
        <v>48.7</v>
      </c>
      <c r="B5" s="2">
        <v>3.59</v>
      </c>
      <c r="C5" s="3">
        <f t="shared" si="0"/>
        <v>108.34897484805772</v>
      </c>
      <c r="D5" s="3">
        <f>INTERPOLATE(A5,'OMEGA Data'!$A$2:$A$21,'OMEGA Data'!$B$2:$B$21)</f>
        <v>74.453400000000002</v>
      </c>
      <c r="E5" s="4">
        <f t="shared" si="1"/>
        <v>0.4552589250196461</v>
      </c>
    </row>
    <row r="6" spans="1:11" x14ac:dyDescent="0.3">
      <c r="A6" s="3">
        <v>40.700000000000003</v>
      </c>
      <c r="B6" s="2">
        <v>3.64</v>
      </c>
      <c r="C6" s="3">
        <f t="shared" si="0"/>
        <v>108.26605710206944</v>
      </c>
      <c r="D6" s="3">
        <f>INTERPOLATE(A6,'OMEGA Data'!$A$2:$A$21,'OMEGA Data'!$B$2:$B$21)</f>
        <v>74.657600000000002</v>
      </c>
      <c r="E6" s="4">
        <f t="shared" si="1"/>
        <v>0.4501679280082595</v>
      </c>
    </row>
    <row r="7" spans="1:11" x14ac:dyDescent="0.3">
      <c r="A7" s="3">
        <v>31</v>
      </c>
      <c r="B7" s="2">
        <v>3.43</v>
      </c>
      <c r="C7" s="3">
        <f t="shared" si="0"/>
        <v>98.34820024245191</v>
      </c>
      <c r="D7" s="3">
        <f>INTERPOLATE(A7,'OMEGA Data'!$A$2:$A$21,'OMEGA Data'!$B$2:$B$21)</f>
        <v>75.046000000000006</v>
      </c>
      <c r="E7" s="4">
        <f t="shared" si="1"/>
        <v>0.31050555982266742</v>
      </c>
    </row>
    <row r="8" spans="1:11" x14ac:dyDescent="0.3">
      <c r="A8" s="3">
        <v>25.5</v>
      </c>
      <c r="B8" s="2">
        <v>3.35</v>
      </c>
      <c r="C8" s="3">
        <f t="shared" si="0"/>
        <v>94.310502015878015</v>
      </c>
      <c r="D8" s="3">
        <f>INTERPOLATE(A8,'OMEGA Data'!$A$2:$A$21,'OMEGA Data'!$B$2:$B$21)</f>
        <v>75.27000000000001</v>
      </c>
      <c r="E8" s="4">
        <f t="shared" si="1"/>
        <v>0.25296269451146541</v>
      </c>
      <c r="K8" s="3"/>
    </row>
    <row r="9" spans="1:11" x14ac:dyDescent="0.3">
      <c r="K9" s="3"/>
    </row>
    <row r="11" spans="1:11" x14ac:dyDescent="0.3">
      <c r="A11" t="s">
        <v>6</v>
      </c>
    </row>
    <row r="12" spans="1:11" ht="28.8" x14ac:dyDescent="0.3">
      <c r="A12" s="1" t="s">
        <v>1</v>
      </c>
      <c r="B12" s="1" t="s">
        <v>2</v>
      </c>
      <c r="C12" s="1" t="s">
        <v>3</v>
      </c>
      <c r="D12" s="1" t="s">
        <v>4</v>
      </c>
      <c r="E12" s="1" t="s">
        <v>5</v>
      </c>
    </row>
    <row r="13" spans="1:11" x14ac:dyDescent="0.3">
      <c r="A13" s="3">
        <v>77.3</v>
      </c>
      <c r="B13" s="2">
        <v>3.48</v>
      </c>
      <c r="C13" s="3">
        <f t="shared" ref="C13:C18" si="2">(((B13/$H$2)-0.16)/0.0062)/(1.0546-0.00216*A13)</f>
        <v>111.4479099252795</v>
      </c>
      <c r="D13" s="3">
        <f>INTERPOLATE(A13,'OMEGA Data'!$A$2:$A$21,'OMEGA Data'!$C$2:$C$21)</f>
        <v>79.0458</v>
      </c>
      <c r="E13" s="4">
        <f>(C13-D13)/D13</f>
        <v>0.40991564289664351</v>
      </c>
    </row>
    <row r="14" spans="1:11" x14ac:dyDescent="0.3">
      <c r="A14" s="3">
        <v>58.6</v>
      </c>
      <c r="B14" s="2">
        <v>3.55</v>
      </c>
      <c r="C14" s="3">
        <f t="shared" si="2"/>
        <v>109.30072040838643</v>
      </c>
      <c r="D14" s="3">
        <f>INTERPOLATE(A14,'OMEGA Data'!$A$2:$A$21,'OMEGA Data'!$C$2:$C$21)</f>
        <v>80.376000000000005</v>
      </c>
      <c r="E14" s="4">
        <f t="shared" ref="E14:E18" si="3">(C14-D14)/D14</f>
        <v>0.35986762725672361</v>
      </c>
    </row>
    <row r="15" spans="1:11" x14ac:dyDescent="0.3">
      <c r="A15" s="3">
        <v>46.8</v>
      </c>
      <c r="B15" s="2">
        <v>3.59</v>
      </c>
      <c r="C15" s="3">
        <f t="shared" si="2"/>
        <v>107.88263127526952</v>
      </c>
      <c r="D15" s="3">
        <f>INTERPOLATE(A15,'OMEGA Data'!$A$2:$A$21,'OMEGA Data'!$C$2:$C$21)</f>
        <v>81.545599999999993</v>
      </c>
      <c r="E15" s="4">
        <f t="shared" si="3"/>
        <v>0.32297305158426115</v>
      </c>
    </row>
    <row r="16" spans="1:11" x14ac:dyDescent="0.3">
      <c r="A16" s="3">
        <v>36.9</v>
      </c>
      <c r="B16" s="2">
        <v>3.64</v>
      </c>
      <c r="C16" s="3">
        <f t="shared" si="2"/>
        <v>107.35452623447559</v>
      </c>
      <c r="D16" s="3">
        <f>INTERPOLATE(A16,'OMEGA Data'!$A$2:$A$21,'OMEGA Data'!$C$2:$C$21)</f>
        <v>82.710599999999999</v>
      </c>
      <c r="E16" s="4">
        <f t="shared" si="3"/>
        <v>0.2979536629461712</v>
      </c>
    </row>
    <row r="17" spans="1:5" x14ac:dyDescent="0.3">
      <c r="A17" s="3">
        <v>31</v>
      </c>
      <c r="B17" s="2">
        <v>3.43</v>
      </c>
      <c r="C17" s="3">
        <f t="shared" si="2"/>
        <v>98.34820024245191</v>
      </c>
      <c r="D17" s="3">
        <f>INTERPOLATE(A17,'OMEGA Data'!$A$2:$A$21,'OMEGA Data'!$C$2:$C$21)</f>
        <v>83.486000000000004</v>
      </c>
      <c r="E17" s="4">
        <f t="shared" si="3"/>
        <v>0.17802026977519469</v>
      </c>
    </row>
    <row r="18" spans="1:5" x14ac:dyDescent="0.3">
      <c r="A18" s="3">
        <v>23.8</v>
      </c>
      <c r="B18" s="2">
        <v>3.35</v>
      </c>
      <c r="C18" s="3">
        <f t="shared" si="2"/>
        <v>93.965295750873594</v>
      </c>
      <c r="D18" s="3">
        <f>INTERPOLATE(A18,'OMEGA Data'!$A$2:$A$21,'OMEGA Data'!$C$2:$C$21)</f>
        <v>84.524799999999999</v>
      </c>
      <c r="E18" s="4">
        <f t="shared" si="3"/>
        <v>0.11168906345680316</v>
      </c>
    </row>
    <row r="21" spans="1:5" ht="15.6" x14ac:dyDescent="0.35">
      <c r="A21" t="s">
        <v>7</v>
      </c>
    </row>
    <row r="22" spans="1:5" ht="28.8" x14ac:dyDescent="0.3">
      <c r="A22" s="1" t="s">
        <v>1</v>
      </c>
      <c r="B22" s="1" t="s">
        <v>2</v>
      </c>
      <c r="C22" s="1" t="s">
        <v>3</v>
      </c>
      <c r="D22" s="1"/>
      <c r="E22" s="1"/>
    </row>
    <row r="23" spans="1:5" x14ac:dyDescent="0.3">
      <c r="A23" s="3">
        <v>25.3</v>
      </c>
      <c r="B23" s="2">
        <v>3.16</v>
      </c>
      <c r="C23" s="3">
        <f t="shared" ref="C23:C28" si="4">(((B23/$H$2)-0.16)/0.0062)/(1.0546-0.00216*A23)</f>
        <v>87.459395183585315</v>
      </c>
    </row>
    <row r="24" spans="1:5" x14ac:dyDescent="0.3">
      <c r="A24" s="3">
        <v>39.299999999999997</v>
      </c>
      <c r="B24" s="2">
        <v>3.43</v>
      </c>
      <c r="C24" s="3">
        <f>(((B24/$H$2)-0.16)/0.0062)/(1.0546-0.00216*A24)</f>
        <v>100.16645817258649</v>
      </c>
    </row>
    <row r="25" spans="1:5" x14ac:dyDescent="0.3">
      <c r="A25" s="3">
        <v>46</v>
      </c>
      <c r="B25" s="2">
        <v>3.32</v>
      </c>
      <c r="C25" s="3">
        <f t="shared" si="4"/>
        <v>97.55659746001642</v>
      </c>
    </row>
    <row r="26" spans="1:5" x14ac:dyDescent="0.3">
      <c r="A26" s="3">
        <v>52.2</v>
      </c>
      <c r="B26" s="2">
        <v>3.4</v>
      </c>
      <c r="C26" s="3">
        <f t="shared" si="4"/>
        <v>101.98816334509485</v>
      </c>
    </row>
    <row r="27" spans="1:5" x14ac:dyDescent="0.3">
      <c r="A27" s="3">
        <v>60.8</v>
      </c>
      <c r="B27" s="2">
        <v>3.36</v>
      </c>
      <c r="C27" s="3">
        <f t="shared" si="4"/>
        <v>102.48730159040726</v>
      </c>
    </row>
    <row r="28" spans="1:5" x14ac:dyDescent="0.3">
      <c r="A28" s="3">
        <v>70.3</v>
      </c>
      <c r="B28" s="2">
        <v>3.3</v>
      </c>
      <c r="C28" s="3">
        <f t="shared" si="4"/>
        <v>102.43468669088509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4558E-C0B1-4225-85E0-CE49D6C69A36}">
  <sheetPr codeName="Sheet2"/>
  <dimension ref="A1:C21"/>
  <sheetViews>
    <sheetView workbookViewId="0">
      <selection activeCell="A17" sqref="A17"/>
    </sheetView>
  </sheetViews>
  <sheetFormatPr defaultRowHeight="14.4" x14ac:dyDescent="0.3"/>
  <cols>
    <col min="1" max="1" width="16.44140625" bestFit="1" customWidth="1"/>
    <col min="2" max="2" width="11" bestFit="1" customWidth="1"/>
    <col min="3" max="3" width="9.6640625" bestFit="1" customWidth="1"/>
  </cols>
  <sheetData>
    <row r="1" spans="1:3" x14ac:dyDescent="0.3">
      <c r="A1" t="s">
        <v>1</v>
      </c>
      <c r="B1" t="s">
        <v>9</v>
      </c>
      <c r="C1" t="s">
        <v>10</v>
      </c>
    </row>
    <row r="2" spans="1:3" x14ac:dyDescent="0.3">
      <c r="A2">
        <v>0</v>
      </c>
      <c r="B2" s="2">
        <v>75.510000000000005</v>
      </c>
      <c r="C2" s="2">
        <v>88.61</v>
      </c>
    </row>
    <row r="3" spans="1:3" x14ac:dyDescent="0.3">
      <c r="A3">
        <f>A2+5</f>
        <v>5</v>
      </c>
      <c r="B3" s="2">
        <v>75.650000000000006</v>
      </c>
      <c r="C3" s="2">
        <v>87.67</v>
      </c>
    </row>
    <row r="4" spans="1:3" x14ac:dyDescent="0.3">
      <c r="A4">
        <f t="shared" ref="A4:A21" si="0">A3+5</f>
        <v>10</v>
      </c>
      <c r="B4" s="2">
        <v>75.67</v>
      </c>
      <c r="C4" s="2">
        <v>86.77</v>
      </c>
    </row>
    <row r="5" spans="1:3" x14ac:dyDescent="0.3">
      <c r="A5">
        <f t="shared" si="0"/>
        <v>15</v>
      </c>
      <c r="B5" s="2">
        <v>75.61</v>
      </c>
      <c r="C5" s="2">
        <v>85.92</v>
      </c>
    </row>
    <row r="6" spans="1:3" x14ac:dyDescent="0.3">
      <c r="A6">
        <f t="shared" si="0"/>
        <v>20</v>
      </c>
      <c r="B6" s="2">
        <v>75.47</v>
      </c>
      <c r="C6" s="2">
        <v>85.11</v>
      </c>
    </row>
    <row r="7" spans="1:3" x14ac:dyDescent="0.3">
      <c r="A7">
        <f t="shared" si="0"/>
        <v>25</v>
      </c>
      <c r="B7" s="2">
        <v>75.290000000000006</v>
      </c>
      <c r="C7" s="2">
        <v>84.34</v>
      </c>
    </row>
    <row r="8" spans="1:3" x14ac:dyDescent="0.3">
      <c r="A8">
        <f t="shared" si="0"/>
        <v>30</v>
      </c>
      <c r="B8" s="2">
        <v>75.09</v>
      </c>
      <c r="C8" s="2">
        <v>83.62</v>
      </c>
    </row>
    <row r="9" spans="1:3" x14ac:dyDescent="0.3">
      <c r="A9">
        <f t="shared" si="0"/>
        <v>35</v>
      </c>
      <c r="B9" s="2">
        <v>74.87</v>
      </c>
      <c r="C9" s="2">
        <v>82.95</v>
      </c>
    </row>
    <row r="10" spans="1:3" x14ac:dyDescent="0.3">
      <c r="A10">
        <f t="shared" si="0"/>
        <v>40</v>
      </c>
      <c r="B10" s="2">
        <v>74.680000000000007</v>
      </c>
      <c r="C10" s="2">
        <v>82.32</v>
      </c>
    </row>
    <row r="11" spans="1:3" x14ac:dyDescent="0.3">
      <c r="A11">
        <f t="shared" si="0"/>
        <v>45</v>
      </c>
      <c r="B11" s="2">
        <v>74.52</v>
      </c>
      <c r="C11" s="2">
        <v>81.739999999999995</v>
      </c>
    </row>
    <row r="12" spans="1:3" x14ac:dyDescent="0.3">
      <c r="A12">
        <f t="shared" si="0"/>
        <v>50</v>
      </c>
      <c r="B12" s="2">
        <v>74.430000000000007</v>
      </c>
      <c r="C12" s="2">
        <v>81.2</v>
      </c>
    </row>
    <row r="13" spans="1:3" x14ac:dyDescent="0.3">
      <c r="A13">
        <f t="shared" si="0"/>
        <v>55</v>
      </c>
      <c r="B13" s="2">
        <v>74.41</v>
      </c>
      <c r="C13" s="2">
        <v>80.7</v>
      </c>
    </row>
    <row r="14" spans="1:3" x14ac:dyDescent="0.3">
      <c r="A14">
        <f t="shared" si="0"/>
        <v>60</v>
      </c>
      <c r="B14" s="2">
        <v>74.5</v>
      </c>
      <c r="C14" s="2">
        <v>80.25</v>
      </c>
    </row>
    <row r="15" spans="1:3" x14ac:dyDescent="0.3">
      <c r="A15">
        <f t="shared" si="0"/>
        <v>65</v>
      </c>
      <c r="B15" s="2">
        <v>74.709999999999994</v>
      </c>
      <c r="C15" s="2">
        <v>79.849999999999994</v>
      </c>
    </row>
    <row r="16" spans="1:3" x14ac:dyDescent="0.3">
      <c r="A16">
        <f t="shared" si="0"/>
        <v>70</v>
      </c>
      <c r="B16" s="2">
        <v>75.06</v>
      </c>
      <c r="C16" s="2">
        <v>79.489999999999995</v>
      </c>
    </row>
    <row r="17" spans="1:3" x14ac:dyDescent="0.3">
      <c r="A17">
        <f t="shared" si="0"/>
        <v>75</v>
      </c>
      <c r="B17" s="2">
        <v>75.58</v>
      </c>
      <c r="C17" s="2">
        <v>79.17</v>
      </c>
    </row>
    <row r="18" spans="1:3" x14ac:dyDescent="0.3">
      <c r="A18">
        <f t="shared" si="0"/>
        <v>80</v>
      </c>
      <c r="B18" s="2">
        <v>76.290000000000006</v>
      </c>
      <c r="C18" s="2">
        <v>78.900000000000006</v>
      </c>
    </row>
    <row r="19" spans="1:3" x14ac:dyDescent="0.3">
      <c r="A19">
        <f>A18+5</f>
        <v>85</v>
      </c>
      <c r="C19" s="2">
        <v>78.680000000000007</v>
      </c>
    </row>
    <row r="20" spans="1:3" x14ac:dyDescent="0.3">
      <c r="A20">
        <f t="shared" si="0"/>
        <v>90</v>
      </c>
      <c r="C20" s="2">
        <v>78.5</v>
      </c>
    </row>
    <row r="21" spans="1:3" x14ac:dyDescent="0.3">
      <c r="A21">
        <f t="shared" si="0"/>
        <v>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BCA2-9EC1-4F41-9A0E-B2A1DCA62CA9}">
  <dimension ref="A1:G11"/>
  <sheetViews>
    <sheetView tabSelected="1" zoomScale="70" zoomScaleNormal="70" workbookViewId="0">
      <selection activeCell="C8" sqref="C8:C11"/>
    </sheetView>
  </sheetViews>
  <sheetFormatPr defaultRowHeight="14.4" x14ac:dyDescent="0.3"/>
  <sheetData>
    <row r="1" spans="1:7" x14ac:dyDescent="0.3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</row>
    <row r="2" spans="1:7" x14ac:dyDescent="0.3">
      <c r="A2">
        <v>8.8699999999999992</v>
      </c>
      <c r="B2" s="7">
        <v>985</v>
      </c>
      <c r="C2" s="7">
        <v>989</v>
      </c>
      <c r="D2" s="6">
        <v>9.9999999999999997E+98</v>
      </c>
      <c r="E2" s="2">
        <f>((C2*D2)/(B2*C2+(B2+C2)*D2))*A2</f>
        <v>4.4439868287740616</v>
      </c>
      <c r="F2" s="2">
        <v>4.42</v>
      </c>
      <c r="G2" s="8">
        <f>(F2-E2)/E2</f>
        <v>-5.3975922292908282E-3</v>
      </c>
    </row>
    <row r="3" spans="1:7" x14ac:dyDescent="0.3">
      <c r="A3">
        <v>8.8699999999999992</v>
      </c>
      <c r="B3" s="7">
        <v>985</v>
      </c>
      <c r="C3" s="7">
        <v>989</v>
      </c>
      <c r="D3" s="5">
        <v>10000000</v>
      </c>
      <c r="E3" s="2">
        <f t="shared" ref="E3:E5" si="0">((C3*D3)/(B3*C3+(B3+C3)*D3))*A3</f>
        <v>4.4437675297469283</v>
      </c>
      <c r="F3" s="2">
        <v>4.42</v>
      </c>
      <c r="G3" s="8">
        <f t="shared" ref="G3:G5" si="1">(F3-E3)/E3</f>
        <v>-5.348508802007915E-3</v>
      </c>
    </row>
    <row r="4" spans="1:7" x14ac:dyDescent="0.3">
      <c r="A4">
        <v>8.8699999999999992</v>
      </c>
      <c r="B4" s="7">
        <v>989000</v>
      </c>
      <c r="C4" s="7">
        <v>1020000</v>
      </c>
      <c r="D4" s="6">
        <v>9.9999999999999997E+98</v>
      </c>
      <c r="E4" s="2">
        <f t="shared" si="0"/>
        <v>4.5034345445495267</v>
      </c>
      <c r="F4">
        <v>4.29</v>
      </c>
      <c r="G4" s="8">
        <f t="shared" si="1"/>
        <v>-4.7393726374427923E-2</v>
      </c>
    </row>
    <row r="5" spans="1:7" x14ac:dyDescent="0.3">
      <c r="A5">
        <v>8.8699999999999992</v>
      </c>
      <c r="B5" s="7">
        <v>989000</v>
      </c>
      <c r="C5" s="7">
        <v>1020000</v>
      </c>
      <c r="D5" s="5">
        <v>10000000</v>
      </c>
      <c r="E5" s="2">
        <f t="shared" si="0"/>
        <v>4.2881152369947451</v>
      </c>
      <c r="F5">
        <v>4.29</v>
      </c>
      <c r="G5" s="8">
        <f t="shared" si="1"/>
        <v>4.3953179919107763E-4</v>
      </c>
    </row>
    <row r="8" spans="1:7" x14ac:dyDescent="0.3">
      <c r="A8" s="5">
        <v>1000000</v>
      </c>
      <c r="B8" s="5">
        <v>989000</v>
      </c>
      <c r="C8" s="8">
        <f>(B8-A8)/A8</f>
        <v>-1.0999999999999999E-2</v>
      </c>
    </row>
    <row r="9" spans="1:7" x14ac:dyDescent="0.3">
      <c r="A9" s="5">
        <v>1000000</v>
      </c>
      <c r="B9" s="5">
        <v>1020000</v>
      </c>
      <c r="C9" s="8">
        <f t="shared" ref="C9:C11" si="2">(B9-A9)/A9</f>
        <v>0.02</v>
      </c>
    </row>
    <row r="10" spans="1:7" x14ac:dyDescent="0.3">
      <c r="A10" s="5">
        <v>1000</v>
      </c>
      <c r="B10" s="5">
        <v>985</v>
      </c>
      <c r="C10" s="8">
        <f t="shared" si="2"/>
        <v>-1.4999999999999999E-2</v>
      </c>
    </row>
    <row r="11" spans="1:7" x14ac:dyDescent="0.3">
      <c r="A11" s="5">
        <v>1000</v>
      </c>
      <c r="B11" s="5">
        <v>989</v>
      </c>
      <c r="C11" s="8">
        <f t="shared" si="2"/>
        <v>-1.0999999999999999E-2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OMEGA Data</vt:lpstr>
      <vt:lpstr>Voltage Divider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2018-10-25T21:26:30Z</dcterms:created>
  <dcterms:modified xsi:type="dcterms:W3CDTF">2018-10-27T00:08:21Z</dcterms:modified>
</cp:coreProperties>
</file>